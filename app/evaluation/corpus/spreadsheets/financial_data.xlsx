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" sheetId="1" r:id="rId5"/>
    <sheet state="visible" name="expenses" sheetId="2" r:id="rId6"/>
    <sheet state="visible" name="Q1_summary" sheetId="3" r:id="rId7"/>
  </sheets>
  <definedNames/>
  <calcPr/>
</workbook>
</file>

<file path=xl/sharedStrings.xml><?xml version="1.0" encoding="utf-8"?>
<sst xmlns="http://schemas.openxmlformats.org/spreadsheetml/2006/main" count="34" uniqueCount="33">
  <si>
    <t>Month</t>
  </si>
  <si>
    <t>Ingestion API Cost (NGN)</t>
  </si>
  <si>
    <t>Infrastructure Compute (NGN)</t>
  </si>
  <si>
    <t>Monthly Revenue (NGN)</t>
  </si>
  <si>
    <t>Net Margin (%)</t>
  </si>
  <si>
    <t>January</t>
  </si>
  <si>
    <t>February</t>
  </si>
  <si>
    <t>March</t>
  </si>
  <si>
    <t>Q1 Total</t>
  </si>
  <si>
    <t>Metric</t>
  </si>
  <si>
    <t>Cost Category</t>
  </si>
  <si>
    <t>January (NGN)</t>
  </si>
  <si>
    <t>Q1 Total (NGN)</t>
  </si>
  <si>
    <t>February (NGN)</t>
  </si>
  <si>
    <t>Notes / Context</t>
  </si>
  <si>
    <t>March (NGN)</t>
  </si>
  <si>
    <t>Total Revenue</t>
  </si>
  <si>
    <t>Personnel (Clinical R&amp;D)</t>
  </si>
  <si>
    <t>Confirmed from 'Revenue' worksheet</t>
  </si>
  <si>
    <t>Total Operating Expenses</t>
  </si>
  <si>
    <t>Consolidated from 'Expenses' worksheet</t>
  </si>
  <si>
    <t>Personnel (Engineering)</t>
  </si>
  <si>
    <t>Net Operating Loss</t>
  </si>
  <si>
    <t>Primarily due to initial R&amp;D and setup</t>
  </si>
  <si>
    <t>MedRAG Contribution</t>
  </si>
  <si>
    <t>Infrastructure (Cloud)</t>
  </si>
  <si>
    <t>Revenue attributed to new clinical RAG service</t>
  </si>
  <si>
    <t>Q1 Clinical Users</t>
  </si>
  <si>
    <t>Active healthcare providers onboarded</t>
  </si>
  <si>
    <t>Licensing (Medical APIs)</t>
  </si>
  <si>
    <t>Compliance &amp; Legal</t>
  </si>
  <si>
    <t>Marketing</t>
  </si>
  <si>
    <t>Total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</si>
</sst>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3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Q1_summary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expens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8" displayName="Table1" name="Table1" id="1">
  <tableColumns count="5">
    <tableColumn totalsRowLabel="Total Expenses" name="Cost Category" id="1"/>
    <tableColumn totalsRowFunction="custom" name="January (NGN)" id="2"/>
    <tableColumn totalsRowFunction="custom" name="February (NGN)" id="3"/>
    <tableColumn totalsRowFunction="custom" name="March (NGN)" id="4"/>
    <tableColumn totalsRowFunction="custom" name="Q1 Total (NGN)" id="5"/>
  </tableColumns>
  <tableStyleInfo name="expenses-style" showColumnStripes="0" showFirstColumn="1" showLastColumn="1" showRowStripes="1"/>
</table>
</file>

<file path=xl/tables/table2.xml><?xml version="1.0" encoding="utf-8"?>
<table xmlns="http://schemas.openxmlformats.org/spreadsheetml/2006/main" ref="A1:C6" displayName="Table2" name="Table2" id="2">
  <tableColumns count="3">
    <tableColumn name="Metric" id="1"/>
    <tableColumn name="Q1 Total (NGN)" id="2"/>
    <tableColumn name="Notes / Context" id="3"/>
  </tableColumns>
  <tableStyleInfo name="Q1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450000.0</v>
      </c>
      <c r="C2" s="3">
        <v>1200000.0</v>
      </c>
      <c r="D2" s="3">
        <v>3800000.0</v>
      </c>
      <c r="E2" s="4">
        <v>0.565</v>
      </c>
    </row>
    <row r="3">
      <c r="A3" s="2" t="s">
        <v>6</v>
      </c>
      <c r="B3" s="3">
        <v>480000.0</v>
      </c>
      <c r="C3" s="3">
        <v>1250000.0</v>
      </c>
      <c r="D3" s="3">
        <v>4000000.0</v>
      </c>
      <c r="E3" s="4">
        <v>0.5675</v>
      </c>
    </row>
    <row r="4">
      <c r="A4" s="2" t="s">
        <v>7</v>
      </c>
      <c r="B4" s="3">
        <v>510000.0</v>
      </c>
      <c r="C4" s="3">
        <v>1300000.0</v>
      </c>
      <c r="D4" s="5">
        <v>4200000.0</v>
      </c>
      <c r="E4" s="4">
        <v>0.569</v>
      </c>
    </row>
    <row r="5">
      <c r="A5" s="2" t="s">
        <v>8</v>
      </c>
      <c r="B5" s="5">
        <v>1440000.0</v>
      </c>
      <c r="C5" s="5">
        <v>3750000.0</v>
      </c>
      <c r="D5" s="5">
        <v>1.2E7</v>
      </c>
      <c r="E5" s="6">
        <v>0.5672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3" max="3" width="15.5"/>
    <col customWidth="1" min="4" max="4" width="13.5"/>
    <col customWidth="1" min="5" max="5" width="14.75"/>
  </cols>
  <sheetData>
    <row r="1" ht="22.5" customHeight="1">
      <c r="A1" s="7" t="s">
        <v>10</v>
      </c>
      <c r="B1" s="7" t="s">
        <v>11</v>
      </c>
      <c r="C1" s="7" t="s">
        <v>13</v>
      </c>
      <c r="D1" s="7" t="s">
        <v>15</v>
      </c>
      <c r="E1" s="7" t="s">
        <v>12</v>
      </c>
    </row>
    <row r="2" ht="22.5" customHeight="1">
      <c r="A2" s="8" t="s">
        <v>17</v>
      </c>
      <c r="B2" s="9">
        <v>2500000.0</v>
      </c>
      <c r="C2" s="9">
        <v>2500000.0</v>
      </c>
      <c r="D2" s="9">
        <v>2600000.0</v>
      </c>
      <c r="E2" s="9">
        <v>7600000.0</v>
      </c>
    </row>
    <row r="3" ht="22.5" customHeight="1">
      <c r="A3" s="8" t="s">
        <v>21</v>
      </c>
      <c r="B3" s="9">
        <v>1800000.0</v>
      </c>
      <c r="C3" s="9">
        <v>1850000.0</v>
      </c>
      <c r="D3" s="9">
        <v>1900000.0</v>
      </c>
      <c r="E3" s="9">
        <v>5550000.0</v>
      </c>
    </row>
    <row r="4" ht="22.5" customHeight="1">
      <c r="A4" s="8" t="s">
        <v>25</v>
      </c>
      <c r="B4" s="9">
        <v>1200000.0</v>
      </c>
      <c r="C4" s="9">
        <v>1250000.0</v>
      </c>
      <c r="D4" s="9">
        <v>1300000.0</v>
      </c>
      <c r="E4" s="9">
        <v>3750000.0</v>
      </c>
    </row>
    <row r="5" ht="22.5" customHeight="1">
      <c r="A5" s="8" t="s">
        <v>29</v>
      </c>
      <c r="B5" s="9">
        <v>450000.0</v>
      </c>
      <c r="C5" s="9">
        <v>480000.0</v>
      </c>
      <c r="D5" s="9">
        <v>510000.0</v>
      </c>
      <c r="E5" s="9">
        <v>1440000.0</v>
      </c>
    </row>
    <row r="6" ht="22.5" customHeight="1">
      <c r="A6" s="8" t="s">
        <v>30</v>
      </c>
      <c r="B6" s="9">
        <v>300000.0</v>
      </c>
      <c r="C6" s="9">
        <v>150000.0</v>
      </c>
      <c r="D6" s="9">
        <v>150000.0</v>
      </c>
      <c r="E6" s="9">
        <v>600000.0</v>
      </c>
    </row>
    <row r="7" ht="22.5" customHeight="1">
      <c r="A7" s="8" t="s">
        <v>31</v>
      </c>
      <c r="B7" s="9">
        <v>500000.0</v>
      </c>
      <c r="C7" s="9">
        <v>750000.0</v>
      </c>
      <c r="D7" s="11">
        <v>1000000.0</v>
      </c>
      <c r="E7" s="9">
        <v>2250000.0</v>
      </c>
    </row>
    <row r="8" ht="22.5" customHeight="1">
      <c r="A8" s="8" t="s">
        <v>32</v>
      </c>
      <c r="B8" s="12">
        <f>SUM(Table1[January (NGN)])</f>
        <v>6750000</v>
      </c>
      <c r="C8" s="12">
        <f>SUM(Table1[February (NGN)])</f>
        <v>6980000</v>
      </c>
      <c r="D8" s="12">
        <f>SUM(Table1[March (NGN)])</f>
        <v>7460000</v>
      </c>
      <c r="E8" s="12">
        <f>SUM(Table1[Q1 Total (NGN)])</f>
        <v>21190000</v>
      </c>
    </row>
  </sheetData>
  <dataValidations>
    <dataValidation type="custom" allowBlank="1" showDropDown="1" sqref="B2:E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7" t="s">
        <v>9</v>
      </c>
      <c r="B1" s="7" t="s">
        <v>12</v>
      </c>
      <c r="C1" s="7" t="s">
        <v>14</v>
      </c>
    </row>
    <row r="2" ht="22.5" customHeight="1">
      <c r="A2" s="8" t="s">
        <v>16</v>
      </c>
      <c r="B2" s="9">
        <v>1.2E7</v>
      </c>
      <c r="C2" s="10" t="s">
        <v>18</v>
      </c>
    </row>
    <row r="3" ht="22.5" customHeight="1">
      <c r="A3" s="8" t="s">
        <v>19</v>
      </c>
      <c r="B3" s="9">
        <v>2.119E7</v>
      </c>
      <c r="C3" s="10" t="s">
        <v>20</v>
      </c>
    </row>
    <row r="4" ht="22.5" customHeight="1">
      <c r="A4" s="8" t="s">
        <v>22</v>
      </c>
      <c r="B4" s="9">
        <v>-9190000.0</v>
      </c>
      <c r="C4" s="10" t="s">
        <v>23</v>
      </c>
    </row>
    <row r="5" ht="22.5" customHeight="1">
      <c r="A5" s="8" t="s">
        <v>24</v>
      </c>
      <c r="B5" s="9">
        <v>8500000.0</v>
      </c>
      <c r="C5" s="10" t="s">
        <v>26</v>
      </c>
    </row>
    <row r="6" ht="22.5" customHeight="1">
      <c r="A6" s="8" t="s">
        <v>27</v>
      </c>
      <c r="B6" s="9">
        <v>1420.0</v>
      </c>
      <c r="C6" s="10" t="s">
        <v>28</v>
      </c>
    </row>
  </sheetData>
  <dataValidations>
    <dataValidation type="custom" allowBlank="1" showDropDown="1" sqref="B2:B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